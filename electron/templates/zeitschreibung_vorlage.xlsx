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kuklawaagen-my.sharepoint.com/personal/a_riedl_kukla_co_at/Documents/Zeitaufzeichnungen/Zeitaufzeichnung 2026/06_Juni/"/>
    </mc:Choice>
  </mc:AlternateContent>
  <xr:revisionPtr revIDLastSave="14" documentId="13_ncr:1_{50E38950-0699-4FDD-8CF3-E68138518881}" xr6:coauthVersionLast="47" xr6:coauthVersionMax="47" xr10:uidLastSave="{74E49319-7B45-48CF-A48F-11ABB2001A43}"/>
  <bookViews>
    <workbookView xWindow="-120" yWindow="-120" windowWidth="29040" windowHeight="15720" xr2:uid="{00000000-000D-0000-FFFF-FFFF00000000}"/>
  </bookViews>
  <sheets>
    <sheet name="Zeitschreibung" sheetId="2" r:id="rId1"/>
    <sheet name="Ferienberechnung" sheetId="4" r:id="rId2"/>
    <sheet name="Drop Down" sheetId="5" r:id="rId3"/>
  </sheets>
  <definedNames>
    <definedName name="_xlnm.Print_Area" localSheetId="0">'Riedl  Alois'!$A$1:$P$39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<sst xmlns="http://schemas.openxmlformats.org/spreadsheetml/2006/main" count="67" uniqueCount="53">
  <si>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Stundenaufzeichung</t>
  </si>
  <si>
    <t>August</t>
  </si>
  <si>
    <t>Riedl Alois</t>
  </si>
  <si>
    <t>Vormonat</t>
  </si>
  <si>
    <t>Datum</t>
  </si>
  <si>
    <t>Tag</t>
  </si>
  <si>
    <t>Feiert.</t>
  </si>
  <si>
    <t>Anw.</t>
  </si>
  <si>
    <t>Montage</t>
  </si>
  <si>
    <t>Ü/50%</t>
  </si>
  <si>
    <t>Ü/100%</t>
  </si>
  <si>
    <t>Weg</t>
  </si>
  <si>
    <t>Urlaub</t>
  </si>
  <si>
    <t xml:space="preserve">ZA + </t>
  </si>
  <si>
    <t>ZA -</t>
  </si>
  <si>
    <t>Krank/Arzt</t>
  </si>
  <si>
    <t>Summe</t>
  </si>
  <si>
    <t>Bemerkung</t>
  </si>
  <si>
    <t>Gesam:</t>
  </si>
  <si>
    <t>Ostersonntag</t>
  </si>
  <si>
    <t>Ostermontag</t>
  </si>
  <si>
    <t>Christi Himmelfahrt</t>
  </si>
  <si>
    <t>Ch.Himmelf.</t>
  </si>
  <si>
    <t>Pfingstsonntag</t>
  </si>
  <si>
    <t>Pfingstsmontag</t>
  </si>
  <si>
    <t>Pfingstsmon.</t>
  </si>
  <si>
    <t>Frohenleichnam</t>
  </si>
  <si>
    <t>Neujahr</t>
  </si>
  <si>
    <t>Heilige Dreikönige</t>
  </si>
  <si>
    <t>Hl. Dreikönige</t>
  </si>
  <si>
    <t>Staatsfeiertag</t>
  </si>
  <si>
    <t>Nationalfeiertag</t>
  </si>
  <si>
    <t>Allerheiligen</t>
  </si>
  <si>
    <t>Maria Himmerlfahrt</t>
  </si>
  <si>
    <t>Maria Himmelf.</t>
  </si>
  <si>
    <t>Heiliger Abend</t>
  </si>
  <si>
    <t>Weihnachten</t>
  </si>
  <si>
    <t>Stefani</t>
  </si>
  <si>
    <t>Maria Empfängniss</t>
  </si>
  <si>
    <t>Maria Empf.</t>
  </si>
  <si>
    <t>Silvester</t>
  </si>
  <si>
    <t>Jänner</t>
  </si>
  <si>
    <t>Februar</t>
  </si>
  <si>
    <t>März</t>
  </si>
  <si>
    <t>April</t>
  </si>
  <si>
    <t>Mai</t>
  </si>
  <si>
    <t>Juni</t>
  </si>
  <si>
    <t>Juli</t>
  </si>
  <si>
    <t>September</t>
  </si>
  <si>
    <t>Oktober</t>
  </si>
  <si>
    <t>November</t>
  </si>
  <si>
    <t>Dezember</t>
  </si>
  <si>
    <t>War falsch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</si>
</sst>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3" borderId="11" applyNumberFormat="0" applyAlignment="0" applyProtection="0"/>
    <xf numFmtId="0" fontId="5" fillId="4" borderId="11" applyNumberFormat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10" xfId="0" applyBorder="1" applyAlignment="1">
      <alignment horizontal="center"/>
    </xf>
    <xf numFmtId="0" fontId="6" fillId="0" borderId="0" xfId="0" applyFont="1"/>
    <xf numFmtId="0" fontId="4" fillId="3" borderId="11" xfId="1" applyNumberFormat="1"/>
    <xf numFmtId="14" fontId="5" fillId="4" borderId="11" xfId="2" applyNumberFormat="1"/>
    <xf numFmtId="16" fontId="6" fillId="0" borderId="0" xfId="0" applyNumberFormat="1" applyFont="1" applyAlignment="1">
      <alignment horizontal="left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2" fontId="0" fillId="2" borderId="6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2" fontId="0" fillId="0" borderId="15" xfId="0" applyNumberFormat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1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0" fontId="2" fillId="0" borderId="22" xfId="0" applyFont="1" applyBorder="1" applyAlignment="1" applyProtection="1">
      <alignment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0" fillId="0" borderId="26" xfId="0" applyBorder="1" applyAlignment="1">
      <alignment horizontal="center"/>
    </xf>
    <xf numFmtId="0" fontId="1" fillId="0" borderId="26" xfId="0" applyFont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/>
    </xf>
    <xf numFmtId="14" fontId="0" fillId="2" borderId="28" xfId="0" applyNumberForma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2" fontId="0" fillId="2" borderId="29" xfId="0" applyNumberFormat="1" applyFill="1" applyBorder="1" applyAlignment="1" applyProtection="1">
      <alignment horizontal="center"/>
      <protection locked="0"/>
    </xf>
    <xf numFmtId="2" fontId="0" fillId="2" borderId="30" xfId="0" applyNumberFormat="1" applyFill="1" applyBorder="1" applyAlignment="1" applyProtection="1">
      <alignment horizontal="center"/>
      <protection locked="0"/>
    </xf>
    <xf numFmtId="2" fontId="0" fillId="2" borderId="31" xfId="0" applyNumberFormat="1" applyFill="1" applyBorder="1" applyAlignment="1">
      <alignment horizontal="center"/>
    </xf>
    <xf numFmtId="0" fontId="1" fillId="0" borderId="34" xfId="0" applyFont="1" applyBorder="1" applyAlignment="1" applyProtection="1">
      <alignment horizontal="left" vertical="center"/>
      <protection locked="0"/>
    </xf>
    <xf numFmtId="0" fontId="1" fillId="0" borderId="24" xfId="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14" xfId="0" applyFont="1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0" fillId="2" borderId="16" xfId="0" applyNumberFormat="1" applyFill="1" applyBorder="1" applyAlignment="1" applyProtection="1">
      <alignment horizontal="center"/>
      <protection locked="0"/>
    </xf>
    <xf numFmtId="49" fontId="0" fillId="2" borderId="17" xfId="0" applyNumberFormat="1" applyFill="1" applyBorder="1" applyAlignment="1" applyProtection="1">
      <alignment horizontal="center"/>
      <protection locked="0"/>
    </xf>
    <xf numFmtId="49" fontId="0" fillId="2" borderId="18" xfId="0" applyNumberFormat="1" applyFill="1" applyBorder="1" applyAlignment="1" applyProtection="1">
      <alignment horizontal="center"/>
      <protection locked="0"/>
    </xf>
    <xf numFmtId="49" fontId="0" fillId="2" borderId="19" xfId="0" applyNumberFormat="1" applyFill="1" applyBorder="1" applyAlignment="1" applyProtection="1">
      <alignment horizontal="center"/>
      <protection locked="0"/>
    </xf>
    <xf numFmtId="49" fontId="0" fillId="2" borderId="20" xfId="0" applyNumberFormat="1" applyFill="1" applyBorder="1" applyAlignment="1" applyProtection="1">
      <alignment horizontal="center"/>
      <protection locked="0"/>
    </xf>
    <xf numFmtId="49" fontId="0" fillId="2" borderId="21" xfId="0" applyNumberForma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2" fontId="0" fillId="0" borderId="1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0" fillId="2" borderId="31" xfId="0" applyNumberFormat="1" applyFill="1" applyBorder="1" applyAlignment="1" applyProtection="1">
      <alignment horizontal="center"/>
      <protection locked="0"/>
    </xf>
    <xf numFmtId="49" fontId="0" fillId="2" borderId="32" xfId="0" applyNumberFormat="1" applyFill="1" applyBorder="1" applyAlignment="1" applyProtection="1">
      <alignment horizontal="center"/>
      <protection locked="0"/>
    </xf>
    <xf numFmtId="49" fontId="0" fillId="2" borderId="33" xfId="0" applyNumberFormat="1" applyFill="1" applyBorder="1" applyAlignment="1" applyProtection="1">
      <alignment horizontal="center"/>
      <protection locked="0"/>
    </xf>
    <xf numFmtId="2" fontId="0" fillId="5" borderId="1" xfId="0" applyNumberFormat="1" applyFill="1" applyBorder="1" applyAlignment="1" applyProtection="1">
      <alignment horizontal="center"/>
      <protection locked="0"/>
    </xf>
  </cellXfs>
  <cellStyles count="3">
    <cellStyle name="Berechnung" xfId="2" builtinId="22"/>
    <cellStyle name="Eingabe" xfId="1" builtinId="20"/>
    <cellStyle name="Standard" xfId="0" builtinId="0"/>
  </cellStyles>
  <dxfs count="18">
    <dxf>
      <fill>
        <patternFill patternType="mediumGray">
          <f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 patternType="mediumGray">
          <fgColor rgb="FFFFC000"/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00"/>
        </patternFill>
      </fill>
    </dxf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6600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362665</xdr:colOff>
      <xdr:row>0</xdr:row>
      <xdr:rowOff>71718</xdr:rowOff>
    </xdr:from>
    <xdr:to>
      <xdr:col>2</xdr:col>
      <xdr:colOff>333374</xdr:colOff>
      <xdr:row>4</xdr:row>
      <xdr:rowOff>112394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665" y="71718"/>
          <a:ext cx="1113709" cy="802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5" zoomScaleNormal="85" workbookViewId="0">
      <pane ySplit="7" topLeftCell="A11" activePane="bottomLeft" state="frozen"/>
      <selection pane="bottomLeft" activeCell="E38" sqref="E38"/>
    </sheetView>
  </sheetViews>
  <sheetFormatPr baseColWidth="10" defaultColWidth="11.42578125" defaultRowHeight="15" x14ac:dyDescent="0.25"/>
  <cols>
    <col min="2" max="2" width="4.85546875" bestFit="1" customWidth="1"/>
    <col min="3" max="3" width="11.42578125" style="15" customWidth="1"/>
    <col min="4" max="5" width="8.5703125" style="1" customWidth="1"/>
    <col min="6" max="11" width="8.5703125" customWidth="1"/>
    <col min="12" max="16" width="8.5703125" style="1" customWidth="1"/>
    <col min="18" max="18" width="13.140625" bestFit="1" customWidth="1"/>
    <col min="21" max="21" width="13.140625" bestFit="1" customWidth="1"/>
  </cols>
  <sheetData>
    <row r="1" spans="1:19" x14ac:dyDescent="0.25">
      <c r="A1" s="43"/>
      <c r="B1" s="44"/>
      <c r="C1" s="45"/>
      <c r="D1" s="52" t="s">
        <v>0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4"/>
    </row>
    <row r="2" spans="1:19" x14ac:dyDescent="0.25">
      <c r="A2" s="46"/>
      <c r="B2" s="47"/>
      <c r="C2" s="48"/>
      <c r="D2" s="55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</row>
    <row r="3" spans="1:19" x14ac:dyDescent="0.25">
      <c r="A3" s="46"/>
      <c r="B3" s="47"/>
      <c r="C3" s="48"/>
      <c r="P3" s="42"/>
    </row>
    <row r="4" spans="1:19" ht="15" customHeight="1" x14ac:dyDescent="0.25">
      <c r="A4" s="46"/>
      <c r="B4" s="47"/>
      <c r="C4" s="48"/>
      <c r="D4" s="23"/>
      <c r="E4" s="72"/>
      <c r="F4" s="64" t="inlineStr">
        <is>
          <t>Jänner</t>
        </is>
      </c>
      <c r="G4" s="64"/>
      <c r="H4" s="64"/>
      <c r="I4" s="64">
        <v>2026</v>
      </c>
      <c r="J4" s="64"/>
      <c r="K4" s="68"/>
      <c r="L4" s="68"/>
      <c r="M4" s="68"/>
      <c r="N4" s="68"/>
      <c r="O4" s="68"/>
      <c r="P4" s="69"/>
    </row>
    <row r="5" spans="1:19" ht="15.75" customHeight="1" thickBot="1" x14ac:dyDescent="0.3">
      <c r="A5" s="49"/>
      <c r="B5" s="50"/>
      <c r="C5" s="51"/>
      <c r="D5" s="24"/>
      <c r="E5" s="73"/>
      <c r="F5" s="65"/>
      <c r="G5" s="65"/>
      <c r="H5" s="65"/>
      <c r="I5" s="65"/>
      <c r="J5" s="65"/>
      <c r="K5" s="70"/>
      <c r="L5" s="70"/>
      <c r="M5" s="70"/>
      <c r="N5" s="70"/>
      <c r="O5" s="70"/>
      <c r="P5" s="71"/>
    </row>
    <row r="6" spans="1:19" ht="15.75" customHeight="1" thickBot="1" x14ac:dyDescent="0.3">
      <c r="A6" s="41" t="s">
        <v>3</v>
      </c>
      <c r="B6" s="35"/>
      <c r="C6" s="35"/>
      <c r="D6" s="34"/>
      <c r="E6" s="25"/>
      <c r="F6" s="26"/>
      <c r="G6" s="26"/>
      <c r="H6" s="26"/>
      <c r="I6" s="27"/>
      <c r="J6" s="26"/>
      <c r="K6" s="26"/>
      <c r="L6" s="26"/>
      <c r="M6" s="28"/>
      <c r="N6" s="47"/>
      <c r="O6" s="47"/>
      <c r="P6" s="48"/>
    </row>
    <row r="7" spans="1:19" ht="15.75" thickBot="1" x14ac:dyDescent="0.3">
      <c r="A7" s="37" t="s">
        <v>4</v>
      </c>
      <c r="B7" s="38" t="s">
        <v>5</v>
      </c>
      <c r="C7" s="39" t="s">
        <v>6</v>
      </c>
      <c r="D7" s="40" t="s">
        <v>7</v>
      </c>
      <c r="E7" s="36" t="s">
        <v>8</v>
      </c>
      <c r="F7" s="36" t="s">
        <v>9</v>
      </c>
      <c r="G7" s="36" t="s">
        <v>10</v>
      </c>
      <c r="H7" s="36" t="s">
        <v>11</v>
      </c>
      <c r="I7" s="36" t="s">
        <v>12</v>
      </c>
      <c r="J7" s="36" t="s">
        <v>13</v>
      </c>
      <c r="K7" s="36" t="s">
        <v>14</v>
      </c>
      <c r="L7" s="36" t="s">
        <v>15</v>
      </c>
      <c r="M7" s="36" t="s">
        <v>16</v>
      </c>
      <c r="N7" s="74" t="s">
        <v>17</v>
      </c>
      <c r="O7" s="74"/>
      <c r="P7" s="75"/>
    </row>
    <row r="8" spans="1:19" x14ac:dyDescent="0.25">
      <c r="A8" s="29">
        <f>IF(F4="Jänner",CONCATENATE("01",".","01",".",I4),IF(F4="Februar",CONCATENATE("01",".","02",".",I4),IF(F4="März",CONCATENATE("01",".","03",".",I4),IF(F4="April",CONCATENATE("01",".","04",".",I4),IF(F4="Mai",CONCATENATE("01",".","05",".",I4),IF(F4="Juni",CONCATENATE("01",".","06",".",I4),IF(F4="Juli",CONCATENATE("01",".","07",".",I4),IF(F4="August",CONCATENATE("01",".","08",".",I4),IF(F4="September",CONCATENATE("01",".","09",".",I4),IF(F4="Oktober",CONCATENATE("01",".","10",".",I4),IF(F4="November",CONCATENATE("01",".","11",".",I4),IF(F4="Dezember",CONCATENATE("01",".","12",".",I4)))))))))))))+1-1</f>
        <v>46174</v>
      </c>
      <c r="B8" s="29" t="str">
        <f t="shared" ref="B8:B35" si="0">IF(WEEKDAY(A8,2)=1,"Mo",IF(WEEKDAY(A8,2)=2,"Di",IF(WEEKDAY(A8,2)=3,"Mi",IF(WEEKDAY(A8,2)=4,"Do",IF(WEEKDAY(A8,2)=5,"Fr",IF(WEEKDAY(A8,2)=6,"Sa",IF(WEEKDAY(A8,2)=7,"So")))))))</f>
        <v>Mo</v>
      </c>
      <c r="C8" s="30" t="str">
        <f>IF(ISNA(VLOOKUP(A8,Ferienberechnung!$B$3:$C$22,2,FALSE)),"",VLOOKUP(A8,Ferienberechnung!$B$3:$C$22,2,FALSE))</f>
        <v/>
      </c>
      <c r="D8" s="31"/>
      <c r="E8" s="32"/>
      <c r="F8" s="32"/>
      <c r="G8" s="32"/>
      <c r="H8" s="32"/>
      <c r="I8" s="32"/>
      <c r="J8" s="32"/>
      <c r="K8" s="32"/>
      <c r="L8" s="32"/>
      <c r="M8" s="33">
        <f>SUM(D8:I8)+K8+L8</f>
        <v>8.5</v>
      </c>
      <c r="N8" s="76"/>
      <c r="O8" s="77"/>
      <c r="P8" s="78"/>
      <c r="Q8" s="22"/>
      <c r="R8" s="22"/>
    </row>
    <row r="9" spans="1:19" x14ac:dyDescent="0.25">
      <c r="A9" s="5">
        <f>A8+1</f>
        <v>46175</v>
      </c>
      <c r="B9" s="5" t="str">
        <f t="shared" si="0"/>
        <v>Di</v>
      </c>
      <c r="C9" s="17" t="str">
        <f>IF(ISNA(VLOOKUP(A9,Ferienberechnung!$B$3:$C$22,2,FALSE)),"",VLOOKUP(A9,Ferienberechnung!$B$3:$C$22,2,FALSE))</f>
        <v/>
      </c>
      <c r="D9" s="18"/>
      <c r="E9" s="19"/>
      <c r="F9" s="19"/>
      <c r="G9" s="19"/>
      <c r="H9" s="19"/>
      <c r="I9" s="19"/>
      <c r="J9" s="19"/>
      <c r="K9" s="19"/>
      <c r="L9" s="19"/>
      <c r="M9" s="21">
        <f t="shared" ref="M9:M38" si="1">SUM(D9:I9)+K9+L9</f>
        <v>8.5</v>
      </c>
      <c r="N9" s="58"/>
      <c r="O9" s="59"/>
      <c r="P9" s="60"/>
      <c r="Q9" s="22"/>
    </row>
    <row r="10" spans="1:19" ht="15" customHeight="1" x14ac:dyDescent="0.25">
      <c r="A10" s="5">
        <f t="shared" ref="A10:A35" si="2">A9+1</f>
        <v>46176</v>
      </c>
      <c r="B10" s="5" t="str">
        <f t="shared" si="0"/>
        <v>Mi</v>
      </c>
      <c r="C10" s="17" t="str">
        <f>IF(ISNA(VLOOKUP(A10,Ferienberechnung!$B$3:$C$22,2,FALSE)),"",VLOOKUP(A10,Ferienberechnung!$B$3:$C$22,2,FALSE))</f>
        <v/>
      </c>
      <c r="D10" s="18"/>
      <c r="E10" s="19"/>
      <c r="F10" s="19"/>
      <c r="G10" s="19"/>
      <c r="H10" s="19"/>
      <c r="I10" s="19"/>
      <c r="J10" s="19"/>
      <c r="K10" s="19"/>
      <c r="L10" s="19"/>
      <c r="M10" s="21">
        <f t="shared" si="1"/>
        <v>8.56</v>
      </c>
      <c r="N10" s="58"/>
      <c r="O10" s="59"/>
      <c r="P10" s="60"/>
    </row>
    <row r="11" spans="1:19" ht="15.75" customHeight="1" x14ac:dyDescent="0.25">
      <c r="A11" s="5">
        <f t="shared" si="2"/>
        <v>46177</v>
      </c>
      <c r="B11" s="5" t="str">
        <f t="shared" si="0"/>
        <v>Do</v>
      </c>
      <c r="C11" s="17" t="str">
        <f>IF(ISNA(VLOOKUP(A11,Ferienberechnung!$B$3:$C$22,2,FALSE)),"",VLOOKUP(A11,Ferienberechnung!$B$3:$C$22,2,FALSE))</f>
        <v>Frohenleichnam</v>
      </c>
      <c r="D11" s="18"/>
      <c r="E11" s="19"/>
      <c r="F11" s="19"/>
      <c r="G11" s="19"/>
      <c r="H11" s="19"/>
      <c r="I11" s="19"/>
      <c r="J11" s="19"/>
      <c r="K11" s="19"/>
      <c r="L11" s="19"/>
      <c r="M11" s="21">
        <f t="shared" si="1"/>
        <v>0</v>
      </c>
      <c r="N11" s="58"/>
      <c r="O11" s="59"/>
      <c r="P11" s="60"/>
    </row>
    <row r="12" spans="1:19" x14ac:dyDescent="0.25">
      <c r="A12" s="5">
        <f t="shared" si="2"/>
        <v>46178</v>
      </c>
      <c r="B12" s="5" t="str">
        <f t="shared" si="0"/>
        <v>Fr</v>
      </c>
      <c r="C12" s="17" t="str">
        <f>IF(ISNA(VLOOKUP(A12,Ferienberechnung!$B$3:$C$22,2,FALSE)),"",VLOOKUP(A12,Ferienberechnung!$B$3:$C$22,2,FALSE))</f>
        <v/>
      </c>
      <c r="D12" s="18"/>
      <c r="E12" s="19"/>
      <c r="F12" s="19"/>
      <c r="G12" s="19"/>
      <c r="H12" s="19"/>
      <c r="I12" s="19"/>
      <c r="J12" s="19"/>
      <c r="K12" s="19"/>
      <c r="L12" s="19"/>
      <c r="M12" s="21">
        <f t="shared" si="1"/>
        <v>4.75</v>
      </c>
      <c r="N12" s="58"/>
      <c r="O12" s="59"/>
      <c r="P12" s="60"/>
    </row>
    <row r="13" spans="1:19" x14ac:dyDescent="0.25">
      <c r="A13" s="5">
        <f t="shared" si="2"/>
        <v>46179</v>
      </c>
      <c r="B13" s="5" t="str">
        <f t="shared" si="0"/>
        <v>Sa</v>
      </c>
      <c r="C13" s="17" t="str">
        <f>IF(ISNA(VLOOKUP(A13,Ferienberechnung!$B$3:$C$22,2,FALSE)),"",VLOOKUP(A13,Ferienberechnung!$B$3:$C$22,2,FALSE))</f>
        <v/>
      </c>
      <c r="D13" s="18"/>
      <c r="E13" s="19"/>
      <c r="F13" s="19"/>
      <c r="G13" s="19"/>
      <c r="H13" s="19"/>
      <c r="I13" s="19"/>
      <c r="J13" s="19"/>
      <c r="K13" s="19"/>
      <c r="L13" s="19"/>
      <c r="M13" s="21">
        <f t="shared" si="1"/>
        <v>0</v>
      </c>
      <c r="N13" s="58"/>
      <c r="O13" s="59"/>
      <c r="P13" s="60"/>
    </row>
    <row r="14" spans="1:19" x14ac:dyDescent="0.25">
      <c r="A14" s="5">
        <f t="shared" si="2"/>
        <v>46180</v>
      </c>
      <c r="B14" s="5" t="str">
        <f t="shared" si="0"/>
        <v>So</v>
      </c>
      <c r="C14" s="17" t="str">
        <f>IF(ISNA(VLOOKUP(A14,Ferienberechnung!$B$3:$C$22,2,FALSE)),"",VLOOKUP(A14,Ferienberechnung!$B$3:$C$22,2,FALSE))</f>
        <v/>
      </c>
      <c r="D14" s="18"/>
      <c r="E14" s="19"/>
      <c r="F14" s="19"/>
      <c r="G14" s="19"/>
      <c r="H14" s="19"/>
      <c r="I14" s="19"/>
      <c r="J14" s="19"/>
      <c r="K14" s="19"/>
      <c r="L14" s="19"/>
      <c r="M14" s="21">
        <f t="shared" si="1"/>
        <v>0</v>
      </c>
      <c r="N14" s="58"/>
      <c r="O14" s="59"/>
      <c r="P14" s="60"/>
      <c r="S14" s="2"/>
    </row>
    <row r="15" spans="1:19" x14ac:dyDescent="0.25">
      <c r="A15" s="5">
        <f t="shared" si="2"/>
        <v>46181</v>
      </c>
      <c r="B15" s="5" t="str">
        <f t="shared" si="0"/>
        <v>Mo</v>
      </c>
      <c r="C15" s="17" t="str">
        <f>IF(ISNA(VLOOKUP(A15,Ferienberechnung!$B$3:$C$22,2,FALSE)),"",VLOOKUP(A15,Ferienberechnung!$B$3:$C$22,2,FALSE))</f>
        <v/>
      </c>
      <c r="D15" s="18"/>
      <c r="E15" s="19"/>
      <c r="F15" s="19"/>
      <c r="G15" s="19"/>
      <c r="H15" s="19"/>
      <c r="I15" s="19"/>
      <c r="J15" s="19"/>
      <c r="K15" s="19"/>
      <c r="L15" s="19"/>
      <c r="M15" s="21">
        <f t="shared" si="1"/>
        <v>9</v>
      </c>
      <c r="N15" s="58"/>
      <c r="O15" s="59"/>
      <c r="P15" s="60"/>
    </row>
    <row r="16" spans="1:19" x14ac:dyDescent="0.25">
      <c r="A16" s="5">
        <f t="shared" si="2"/>
        <v>46182</v>
      </c>
      <c r="B16" s="5" t="str">
        <f t="shared" si="0"/>
        <v>Di</v>
      </c>
      <c r="C16" s="17" t="str">
        <f>IF(ISNA(VLOOKUP(A16,Ferienberechnung!$B$3:$C$22,2,FALSE)),"",VLOOKUP(A16,Ferienberechnung!$B$3:$C$22,2,FALSE))</f>
        <v/>
      </c>
      <c r="D16" s="18"/>
      <c r="E16" s="19"/>
      <c r="F16" s="19"/>
      <c r="G16" s="19"/>
      <c r="H16" s="19"/>
      <c r="I16" s="19"/>
      <c r="J16" s="19"/>
      <c r="K16" s="19"/>
      <c r="L16" s="19"/>
      <c r="M16" s="21">
        <f t="shared" si="1"/>
        <v>9.25</v>
      </c>
      <c r="N16" s="58"/>
      <c r="O16" s="59"/>
      <c r="P16" s="60"/>
    </row>
    <row r="17" spans="1:16" x14ac:dyDescent="0.25">
      <c r="A17" s="5">
        <f t="shared" si="2"/>
        <v>46183</v>
      </c>
      <c r="B17" s="5" t="str">
        <f t="shared" si="0"/>
        <v>Mi</v>
      </c>
      <c r="C17" s="17" t="str">
        <f>IF(ISNA(VLOOKUP(A17,Ferienberechnung!$B$3:$C$22,2,FALSE)),"",VLOOKUP(A17,Ferienberechnung!$B$3:$C$22,2,FALSE))</f>
        <v/>
      </c>
      <c r="D17" s="18"/>
      <c r="E17" s="19"/>
      <c r="F17" s="19"/>
      <c r="G17" s="19"/>
      <c r="H17" s="19"/>
      <c r="I17" s="19"/>
      <c r="J17" s="19"/>
      <c r="K17" s="19"/>
      <c r="L17" s="19"/>
      <c r="M17" s="21">
        <f t="shared" si="1"/>
        <v>12</v>
      </c>
      <c r="N17" s="58"/>
      <c r="O17" s="59"/>
      <c r="P17" s="60"/>
    </row>
    <row r="18" spans="1:16" x14ac:dyDescent="0.25">
      <c r="A18" s="5">
        <f t="shared" si="2"/>
        <v>46184</v>
      </c>
      <c r="B18" s="5" t="str">
        <f t="shared" si="0"/>
        <v>Do</v>
      </c>
      <c r="C18" s="17" t="str">
        <f>IF(ISNA(VLOOKUP(A18,Ferienberechnung!$B$3:$C$22,2,FALSE)),"",VLOOKUP(A18,Ferienberechnung!$B$3:$C$22,2,FALSE))</f>
        <v/>
      </c>
      <c r="D18" s="18"/>
      <c r="E18" s="19"/>
      <c r="F18" s="19"/>
      <c r="G18" s="19"/>
      <c r="H18" s="19"/>
      <c r="I18" s="19"/>
      <c r="J18" s="19"/>
      <c r="K18" s="19"/>
      <c r="L18" s="19"/>
      <c r="M18" s="21">
        <f t="shared" si="1"/>
        <v>9.2560000000000002</v>
      </c>
      <c r="N18" s="58"/>
      <c r="O18" s="59"/>
      <c r="P18" s="60"/>
    </row>
    <row r="19" spans="1:16" x14ac:dyDescent="0.25">
      <c r="A19" s="5">
        <f t="shared" si="2"/>
        <v>46185</v>
      </c>
      <c r="B19" s="5" t="str">
        <f t="shared" si="0"/>
        <v>Fr</v>
      </c>
      <c r="C19" s="17" t="str">
        <f>IF(ISNA(VLOOKUP(A19,Ferienberechnung!$B$3:$C$22,2,FALSE)),"",VLOOKUP(A19,Ferienberechnung!$B$3:$C$22,2,FALSE))</f>
        <v/>
      </c>
      <c r="D19" s="18"/>
      <c r="E19" s="19"/>
      <c r="F19" s="19"/>
      <c r="G19" s="19"/>
      <c r="H19" s="19"/>
      <c r="I19" s="19"/>
      <c r="J19" s="19"/>
      <c r="K19" s="19"/>
      <c r="L19" s="19"/>
      <c r="M19" s="21">
        <f t="shared" si="1"/>
        <v>17</v>
      </c>
      <c r="N19" s="58"/>
      <c r="O19" s="59"/>
      <c r="P19" s="60"/>
    </row>
    <row r="20" spans="1:16" x14ac:dyDescent="0.25">
      <c r="A20" s="5">
        <f t="shared" si="2"/>
        <v>46186</v>
      </c>
      <c r="B20" s="5" t="str">
        <f t="shared" si="0"/>
        <v>Sa</v>
      </c>
      <c r="C20" s="17" t="str">
        <f>IF(ISNA(VLOOKUP(A20,Ferienberechnung!$B$3:$C$22,2,FALSE)),"",VLOOKUP(A20,Ferienberechnung!$B$3:$C$22,2,FALSE))</f>
        <v/>
      </c>
      <c r="D20" s="18"/>
      <c r="E20" s="19"/>
      <c r="F20" s="19"/>
      <c r="G20" s="19"/>
      <c r="H20" s="19"/>
      <c r="I20" s="19"/>
      <c r="J20" s="19"/>
      <c r="K20" s="19"/>
      <c r="L20" s="19"/>
      <c r="M20" s="21">
        <f t="shared" si="1"/>
        <v>9.25</v>
      </c>
      <c r="N20" s="58"/>
      <c r="O20" s="59"/>
      <c r="P20" s="60"/>
    </row>
    <row r="21" spans="1:16" x14ac:dyDescent="0.25">
      <c r="A21" s="5">
        <f t="shared" si="2"/>
        <v>46187</v>
      </c>
      <c r="B21" s="5" t="str">
        <f t="shared" si="0"/>
        <v>So</v>
      </c>
      <c r="C21" s="17" t="str">
        <f>IF(ISNA(VLOOKUP(A21,Ferienberechnung!$B$3:$C$22,2,FALSE)),"",VLOOKUP(A21,Ferienberechnung!$B$3:$C$22,2,FALSE))</f>
        <v/>
      </c>
      <c r="D21" s="18"/>
      <c r="E21" s="19"/>
      <c r="F21" s="19"/>
      <c r="G21" s="19"/>
      <c r="H21" s="19"/>
      <c r="I21" s="19"/>
      <c r="J21" s="19"/>
      <c r="K21" s="19"/>
      <c r="L21" s="19"/>
      <c r="M21" s="21">
        <f t="shared" si="1"/>
        <v>8.25</v>
      </c>
      <c r="N21" s="58"/>
      <c r="O21" s="59"/>
      <c r="P21" s="60"/>
    </row>
    <row r="22" spans="1:16" x14ac:dyDescent="0.25">
      <c r="A22" s="5">
        <f t="shared" si="2"/>
        <v>46188</v>
      </c>
      <c r="B22" s="5" t="str">
        <f t="shared" si="0"/>
        <v>Mo</v>
      </c>
      <c r="C22" s="17" t="str">
        <f>IF(ISNA(VLOOKUP(A22,Ferienberechnung!$B$3:$C$22,2,FALSE)),"",VLOOKUP(A22,Ferienberechnung!$B$3:$C$22,2,FALSE))</f>
        <v/>
      </c>
      <c r="D22" s="18"/>
      <c r="E22" s="19"/>
      <c r="F22" s="19"/>
      <c r="G22" s="19"/>
      <c r="H22" s="19"/>
      <c r="I22" s="19"/>
      <c r="J22" s="19"/>
      <c r="K22" s="19"/>
      <c r="L22" s="19"/>
      <c r="M22" s="21">
        <f t="shared" si="1"/>
        <v>15</v>
      </c>
      <c r="N22" s="58"/>
      <c r="O22" s="59"/>
      <c r="P22" s="60"/>
    </row>
    <row r="23" spans="1:16" x14ac:dyDescent="0.25">
      <c r="A23" s="5">
        <f t="shared" si="2"/>
        <v>46189</v>
      </c>
      <c r="B23" s="5" t="str">
        <f t="shared" si="0"/>
        <v>Di</v>
      </c>
      <c r="C23" s="17" t="str">
        <f>IF(ISNA(VLOOKUP(A23,Ferienberechnung!$B$3:$C$22,2,FALSE)),"",VLOOKUP(A23,Ferienberechnung!$B$3:$C$22,2,FALSE))</f>
        <v/>
      </c>
      <c r="D23" s="18"/>
      <c r="E23" s="19"/>
      <c r="F23" s="19"/>
      <c r="G23" s="19"/>
      <c r="H23" s="19"/>
      <c r="I23" s="19"/>
      <c r="J23" s="19"/>
      <c r="K23" s="19"/>
      <c r="L23" s="19"/>
      <c r="M23" s="21">
        <f t="shared" si="1"/>
        <v>9.75</v>
      </c>
      <c r="N23" s="58"/>
      <c r="O23" s="59"/>
      <c r="P23" s="60"/>
    </row>
    <row r="24" spans="1:16" x14ac:dyDescent="0.25">
      <c r="A24" s="5">
        <f t="shared" si="2"/>
        <v>46190</v>
      </c>
      <c r="B24" s="5" t="str">
        <f t="shared" si="0"/>
        <v>Mi</v>
      </c>
      <c r="C24" s="17" t="str">
        <f>IF(ISNA(VLOOKUP(A24,Ferienberechnung!$B$3:$C$22,2,FALSE)),"",VLOOKUP(A24,Ferienberechnung!$B$3:$C$22,2,FALSE))</f>
        <v/>
      </c>
      <c r="D24" s="18"/>
      <c r="E24" s="19"/>
      <c r="F24" s="19"/>
      <c r="G24" s="19"/>
      <c r="H24" s="19"/>
      <c r="I24" s="19"/>
      <c r="J24" s="19"/>
      <c r="K24" s="19"/>
      <c r="L24" s="19"/>
      <c r="M24" s="21">
        <f t="shared" si="1"/>
        <v>8.5</v>
      </c>
      <c r="N24" s="58"/>
      <c r="O24" s="59"/>
      <c r="P24" s="60"/>
    </row>
    <row r="25" spans="1:16" x14ac:dyDescent="0.25">
      <c r="A25" s="5">
        <f t="shared" si="2"/>
        <v>46191</v>
      </c>
      <c r="B25" s="5" t="str">
        <f t="shared" si="0"/>
        <v>Do</v>
      </c>
      <c r="C25" s="17" t="str">
        <f>IF(ISNA(VLOOKUP(A25,Ferienberechnung!$B$3:$C$22,2,FALSE)),"",VLOOKUP(A25,Ferienberechnung!$B$3:$C$22,2,FALSE))</f>
        <v/>
      </c>
      <c r="D25" s="18"/>
      <c r="E25" s="19"/>
      <c r="F25" s="19"/>
      <c r="G25" s="19"/>
      <c r="H25" s="19"/>
      <c r="I25" s="19"/>
      <c r="J25" s="19"/>
      <c r="K25" s="19"/>
      <c r="L25" s="19"/>
      <c r="M25" s="21">
        <f t="shared" si="1"/>
        <v>11.5</v>
      </c>
      <c r="N25" s="58"/>
      <c r="O25" s="59"/>
      <c r="P25" s="60"/>
    </row>
    <row r="26" spans="1:16" x14ac:dyDescent="0.25">
      <c r="A26" s="5">
        <f t="shared" si="2"/>
        <v>46192</v>
      </c>
      <c r="B26" s="5" t="str">
        <f t="shared" si="0"/>
        <v>Fr</v>
      </c>
      <c r="C26" s="17" t="str">
        <f>IF(ISNA(VLOOKUP(A26,Ferienberechnung!$B$3:$C$22,2,FALSE)),"",VLOOKUP(A26,Ferienberechnung!$B$3:$C$22,2,FALSE))</f>
        <v/>
      </c>
      <c r="D26" s="18"/>
      <c r="E26" s="19"/>
      <c r="F26" s="19"/>
      <c r="G26" s="19"/>
      <c r="H26" s="19"/>
      <c r="I26" s="19"/>
      <c r="J26" s="19"/>
      <c r="K26" s="19"/>
      <c r="L26" s="19"/>
      <c r="M26" s="21">
        <f t="shared" si="1"/>
        <v>13.5</v>
      </c>
      <c r="N26" s="58"/>
      <c r="O26" s="59"/>
      <c r="P26" s="60"/>
    </row>
    <row r="27" spans="1:16" x14ac:dyDescent="0.25">
      <c r="A27" s="5">
        <f t="shared" si="2"/>
        <v>46193</v>
      </c>
      <c r="B27" s="5" t="str">
        <f t="shared" si="0"/>
        <v>Sa</v>
      </c>
      <c r="C27" s="17" t="str">
        <f>IF(ISNA(VLOOKUP(A27,Ferienberechnung!$B$3:$C$22,2,FALSE)),"",VLOOKUP(A27,Ferienberechnung!$B$3:$C$22,2,FALSE))</f>
        <v/>
      </c>
      <c r="D27" s="18"/>
      <c r="E27" s="19"/>
      <c r="F27" s="19"/>
      <c r="G27" s="19"/>
      <c r="H27" s="19"/>
      <c r="I27" s="19"/>
      <c r="J27" s="19"/>
      <c r="K27" s="19"/>
      <c r="L27" s="19"/>
      <c r="M27" s="21">
        <f t="shared" si="1"/>
        <v>0</v>
      </c>
      <c r="N27" s="58"/>
      <c r="O27" s="59"/>
      <c r="P27" s="60"/>
    </row>
    <row r="28" spans="1:16" x14ac:dyDescent="0.25">
      <c r="A28" s="5">
        <f t="shared" si="2"/>
        <v>46194</v>
      </c>
      <c r="B28" s="5" t="str">
        <f t="shared" si="0"/>
        <v>So</v>
      </c>
      <c r="C28" s="17" t="str">
        <f>IF(ISNA(VLOOKUP(A28,Ferienberechnung!$B$3:$C$22,2,FALSE)),"",VLOOKUP(A28,Ferienberechnung!$B$3:$C$22,2,FALSE))</f>
        <v/>
      </c>
      <c r="D28" s="18"/>
      <c r="E28" s="19"/>
      <c r="F28" s="19"/>
      <c r="G28" s="19"/>
      <c r="H28" s="19"/>
      <c r="I28" s="19"/>
      <c r="J28" s="19"/>
      <c r="K28" s="19"/>
      <c r="L28" s="19"/>
      <c r="M28" s="21">
        <f t="shared" si="1"/>
        <v>0</v>
      </c>
      <c r="N28" s="58"/>
      <c r="O28" s="59"/>
      <c r="P28" s="60"/>
    </row>
    <row r="29" spans="1:16" x14ac:dyDescent="0.25">
      <c r="A29" s="5">
        <f t="shared" si="2"/>
        <v>46195</v>
      </c>
      <c r="B29" s="5" t="str">
        <f t="shared" si="0"/>
        <v>Mo</v>
      </c>
      <c r="C29" s="17" t="str">
        <f>IF(ISNA(VLOOKUP(A29,Ferienberechnung!$B$3:$C$22,2,FALSE)),"",VLOOKUP(A29,Ferienberechnung!$B$3:$C$22,2,FALSE))</f>
        <v/>
      </c>
      <c r="D29" s="18"/>
      <c r="E29" s="19"/>
      <c r="F29" s="19"/>
      <c r="G29" s="19"/>
      <c r="H29" s="19"/>
      <c r="I29" s="19"/>
      <c r="J29" s="19"/>
      <c r="K29" s="19"/>
      <c r="L29" s="19"/>
      <c r="M29" s="21">
        <f t="shared" si="1"/>
        <v>11.75</v>
      </c>
      <c r="N29" s="58"/>
      <c r="O29" s="59"/>
      <c r="P29" s="60"/>
    </row>
    <row r="30" spans="1:16" x14ac:dyDescent="0.25">
      <c r="A30" s="5">
        <f t="shared" si="2"/>
        <v>46196</v>
      </c>
      <c r="B30" s="5" t="str">
        <f t="shared" si="0"/>
        <v>Di</v>
      </c>
      <c r="C30" s="17" t="str">
        <f>IF(ISNA(VLOOKUP(A30,Ferienberechnung!$B$3:$C$22,2,FALSE)),"",VLOOKUP(A30,Ferienberechnung!$B$3:$C$22,2,FALSE))</f>
        <v/>
      </c>
      <c r="D30" s="18"/>
      <c r="E30" s="19"/>
      <c r="F30" s="79"/>
      <c r="H30" s="19"/>
      <c r="I30" s="19"/>
      <c r="J30" s="19"/>
      <c r="K30" s="19"/>
      <c r="L30" s="19"/>
      <c r="M30" s="21">
        <f t="shared" si="1"/>
        <v>9.5</v>
      </c>
      <c r="N30" s="58"/>
      <c r="O30" s="59"/>
      <c r="P30" s="60"/>
    </row>
    <row r="31" spans="1:16" x14ac:dyDescent="0.25">
      <c r="A31" s="5">
        <f t="shared" si="2"/>
        <v>46197</v>
      </c>
      <c r="B31" s="5" t="str">
        <f t="shared" si="0"/>
        <v>Mi</v>
      </c>
      <c r="C31" s="17" t="str">
        <f>IF(ISNA(VLOOKUP(A31,Ferienberechnung!$B$3:$C$22,2,FALSE)),"",VLOOKUP(A31,Ferienberechnung!$B$3:$C$22,2,FALSE))</f>
        <v/>
      </c>
      <c r="D31" s="18"/>
      <c r="E31" s="19"/>
      <c r="F31" s="79"/>
      <c r="H31" s="19"/>
      <c r="I31" s="19"/>
      <c r="J31" s="19"/>
      <c r="K31" s="19"/>
      <c r="L31" s="19"/>
      <c r="M31" s="21">
        <f t="shared" si="1"/>
        <v>10</v>
      </c>
      <c r="N31" s="58"/>
      <c r="O31" s="59"/>
      <c r="P31" s="60"/>
    </row>
    <row r="32" spans="1:16" x14ac:dyDescent="0.25">
      <c r="A32" s="5">
        <f t="shared" si="2"/>
        <v>46198</v>
      </c>
      <c r="B32" s="5" t="str">
        <f t="shared" si="0"/>
        <v>Do</v>
      </c>
      <c r="C32" s="17" t="str">
        <f>IF(ISNA(VLOOKUP(A32,Ferienberechnung!$B$3:$C$22,2,FALSE)),"",VLOOKUP(A32,Ferienberechnung!$B$3:$C$22,2,FALSE))</f>
        <v/>
      </c>
      <c r="D32" s="18"/>
      <c r="E32" s="19"/>
      <c r="F32" s="79"/>
      <c r="H32" s="19"/>
      <c r="I32" s="19"/>
      <c r="J32" s="19"/>
      <c r="K32" s="19"/>
      <c r="L32" s="19"/>
      <c r="M32" s="21">
        <f t="shared" si="1"/>
        <v>10</v>
      </c>
      <c r="N32" s="58"/>
      <c r="O32" s="59"/>
      <c r="P32" s="60"/>
    </row>
    <row r="33" spans="1:16" x14ac:dyDescent="0.25">
      <c r="A33" s="5">
        <f t="shared" si="2"/>
        <v>46199</v>
      </c>
      <c r="B33" s="5" t="str">
        <f t="shared" si="0"/>
        <v>Fr</v>
      </c>
      <c r="C33" s="17" t="str">
        <f>IF(ISNA(VLOOKUP(A33,Ferienberechnung!$B$3:$C$22,2,FALSE)),"",VLOOKUP(A33,Ferienberechnung!$B$3:$C$22,2,FALSE))</f>
        <v/>
      </c>
      <c r="D33" s="18"/>
      <c r="E33" s="19"/>
      <c r="F33" s="19"/>
      <c r="H33" s="19"/>
      <c r="I33" s="19"/>
      <c r="J33" s="19"/>
      <c r="K33" s="19"/>
      <c r="L33" s="19"/>
      <c r="M33" s="21">
        <f t="shared" si="1"/>
        <v>9</v>
      </c>
      <c r="N33" s="58"/>
      <c r="O33" s="59"/>
      <c r="P33" s="60"/>
    </row>
    <row r="34" spans="1:16" x14ac:dyDescent="0.25">
      <c r="A34" s="5">
        <f t="shared" si="2"/>
        <v>46200</v>
      </c>
      <c r="B34" s="5" t="str">
        <f t="shared" si="0"/>
        <v>Sa</v>
      </c>
      <c r="C34" s="17" t="str">
        <f>IF(ISNA(VLOOKUP(A34,Ferienberechnung!$B$3:$C$22,2,FALSE)),"",VLOOKUP(A34,Ferienberechnung!$B$3:$C$22,2,FALSE))</f>
        <v/>
      </c>
      <c r="D34" s="18"/>
      <c r="E34" s="19"/>
      <c r="F34" s="19"/>
      <c r="H34" s="19"/>
      <c r="I34" s="19"/>
      <c r="J34" s="19"/>
      <c r="K34" s="19"/>
      <c r="L34" s="19"/>
      <c r="M34" s="21">
        <f t="shared" si="1"/>
        <v>8</v>
      </c>
      <c r="N34" s="58"/>
      <c r="O34" s="59"/>
      <c r="P34" s="60"/>
    </row>
    <row r="35" spans="1:16" x14ac:dyDescent="0.25">
      <c r="A35" s="5">
        <f t="shared" si="2"/>
        <v>46201</v>
      </c>
      <c r="B35" s="5" t="str">
        <f t="shared" si="0"/>
        <v>So</v>
      </c>
      <c r="C35" s="17" t="str">
        <f>IF(ISNA(VLOOKUP(A35,Ferienberechnung!$B$3:$C$22,2,FALSE)),"",VLOOKUP(A35,Ferienberechnung!$B$3:$C$22,2,FALSE))</f>
        <v/>
      </c>
      <c r="D35" s="18"/>
      <c r="E35" s="19"/>
      <c r="F35" s="19"/>
      <c r="G35" s="19"/>
      <c r="H35" s="19"/>
      <c r="I35" s="19"/>
      <c r="J35" s="19"/>
      <c r="K35" s="19"/>
      <c r="L35" s="19"/>
      <c r="M35" s="21">
        <f t="shared" si="1"/>
        <v>0</v>
      </c>
      <c r="N35" s="58"/>
      <c r="O35" s="59"/>
      <c r="P35" s="60"/>
    </row>
    <row r="36" spans="1:16" x14ac:dyDescent="0.25">
      <c r="A36" s="5">
        <f>IF(MONTH(A$8)=MONTH(A35+1),A35+1,"")</f>
        <v>46202</v>
      </c>
      <c r="B36" s="5" t="str">
        <f>IF(A36="","",IF(WEEKDAY(A36,2)=1,"Mo",IF(WEEKDAY(A36,2)=2,"Di",IF(WEEKDAY(A36,2)=3,"Mi",IF(WEEKDAY(A36,2)=4,"Do",IF(WEEKDAY(A36,2)=5,"Fr",IF(WEEKDAY(A36,2)=6,"Sa",IF(WEEKDAY(A36,2)=7,"So"))))))))</f>
        <v>Mo</v>
      </c>
      <c r="C36" s="17" t="str">
        <f>IF(ISNA(VLOOKUP(A36,Ferienberechnung!$B$3:$C$22,2,FALSE)),"",VLOOKUP(A36,Ferienberechnung!$B$3:$C$22,2,FALSE))</f>
        <v/>
      </c>
      <c r="D36" s="18"/>
      <c r="E36" s="19"/>
      <c r="F36" s="19"/>
      <c r="G36" s="19"/>
      <c r="H36" s="19"/>
      <c r="I36" s="19"/>
      <c r="J36" s="19"/>
      <c r="K36" s="19"/>
      <c r="L36" s="19"/>
      <c r="M36" s="21">
        <f t="shared" si="1"/>
        <v>9.75</v>
      </c>
      <c r="N36" s="58"/>
      <c r="O36" s="59"/>
      <c r="P36" s="60"/>
    </row>
    <row r="37" spans="1:16" x14ac:dyDescent="0.25">
      <c r="A37" s="5">
        <f>IF(A35="","",IF(MONTH(A$8)=MONTH(A35+2),A35+2,""))</f>
        <v>46203</v>
      </c>
      <c r="B37" s="5" t="str">
        <f>IF(A37="","",IF(WEEKDAY(A37,2)=1,"Mo",IF(WEEKDAY(A37,2)=2,"Di",IF(WEEKDAY(A37,2)=3,"Mi",IF(WEEKDAY(A37,2)=4,"Do",IF(WEEKDAY(A37,2)=5,"Fr",IF(WEEKDAY(A37,2)=6,"Sa",IF(WEEKDAY(A37,2)=7,"So"))))))))</f>
        <v>Di</v>
      </c>
      <c r="C37" s="17" t="str">
        <f>IF(ISNA(VLOOKUP(A37,Ferienberechnung!$B$3:$C$22,2,FALSE)),"",VLOOKUP(A37,Ferienberechnung!$B$3:$C$22,2,FALSE))</f>
        <v/>
      </c>
      <c r="D37" s="18"/>
      <c r="E37" s="19"/>
      <c r="F37" s="19"/>
      <c r="G37" s="19"/>
      <c r="H37" s="19"/>
      <c r="I37" s="19"/>
      <c r="J37" s="19"/>
      <c r="K37" s="19"/>
      <c r="L37" s="19"/>
      <c r="M37" s="21">
        <f t="shared" si="1"/>
        <v>10</v>
      </c>
      <c r="N37" s="58"/>
      <c r="O37" s="59"/>
      <c r="P37" s="60"/>
    </row>
    <row r="38" spans="1:16" ht="15.75" thickBot="1" x14ac:dyDescent="0.3">
      <c r="A38" s="5" t="str">
        <f>IF(A37="","",IF(MONTH(A$8)=MONTH(A35+3),A37+1,""))</f>
        <v/>
      </c>
      <c r="B38" s="5" t="str">
        <f>IF(A38="","",IF(WEEKDAY(A38,2)=1,"Mo",IF(WEEKDAY(A38,2)=2,"Di",IF(WEEKDAY(A38,2)=3,"Mi",IF(WEEKDAY(A38,2)=4,"Do",IF(WEEKDAY(A38,2)=5,"Fr",IF(WEEKDAY(A38,2)=6,"Sa",IF(WEEKDAY(A38,2)=7,"So"))))))))</f>
        <v/>
      </c>
      <c r="C38" s="17" t="str">
        <f>IF(ISNA(VLOOKUP(A38,Ferienberechnung!$B$3:$C$22,2,FALSE)),"",VLOOKUP(A38,Ferienberechnung!$B$3:$C$22,2,FALSE))</f>
        <v/>
      </c>
      <c r="D38" s="18"/>
      <c r="E38" s="19"/>
      <c r="F38" s="19"/>
      <c r="G38" s="19"/>
      <c r="H38" s="19"/>
      <c r="I38" s="19"/>
      <c r="J38" s="19"/>
      <c r="K38" s="19"/>
      <c r="L38" s="19"/>
      <c r="M38" s="21">
        <f t="shared" si="1"/>
        <v>0</v>
      </c>
      <c r="N38" s="61"/>
      <c r="O38" s="62"/>
      <c r="P38" s="63"/>
    </row>
    <row r="39" spans="1:16" ht="15.75" thickBot="1" x14ac:dyDescent="0.3">
      <c r="A39" s="8" t="s">
        <v>18</v>
      </c>
      <c r="B39" s="66">
        <f>D39+E39+F39+G39+H39-I39+J39-K39-L39-P39</f>
        <v>182.696</v>
      </c>
      <c r="C39" s="67"/>
      <c r="D39" s="13">
        <f t="shared" ref="D39:L39" si="3">SUM(D8:D38)</f>
        <v>39.756</v>
      </c>
      <c r="E39" s="13">
        <f t="shared" si="3"/>
        <v>96.75</v>
      </c>
      <c r="F39" s="13">
        <f t="shared" si="3"/>
        <v>23.25</v>
      </c>
      <c r="G39" s="13">
        <f t="shared" si="3"/>
        <v>8.25</v>
      </c>
      <c r="H39" s="13">
        <f t="shared" si="3"/>
        <v>41.75</v>
      </c>
      <c r="I39" s="13">
        <f t="shared" si="3"/>
        <v>30.310000000000002</v>
      </c>
      <c r="J39" s="13">
        <f t="shared" si="3"/>
        <v>3.75</v>
      </c>
      <c r="K39" s="13">
        <f t="shared" si="3"/>
        <v>0.5</v>
      </c>
      <c r="L39" s="13">
        <f t="shared" si="3"/>
        <v>0</v>
      </c>
      <c r="M39" s="20">
        <f>SUM(M8:M38)</f>
        <v>240.566</v>
      </c>
      <c r="N39" s="20"/>
      <c r="O39" s="20"/>
      <c r="P39" s="14">
        <f>SUM(P8:P38)</f>
        <v>0</v>
      </c>
    </row>
    <row r="40" spans="1:16" x14ac:dyDescent="0.25">
      <c r="A40" s="1"/>
      <c r="B40" s="1"/>
      <c r="C40" s="16"/>
      <c r="D40" s="4"/>
      <c r="E40" s="4"/>
      <c r="F40" s="3"/>
      <c r="G40" s="3"/>
      <c r="H40" s="3"/>
      <c r="I40" s="3"/>
      <c r="J40" s="3"/>
      <c r="K40" s="3"/>
      <c r="L40" s="4"/>
      <c r="M40" s="4"/>
      <c r="N40" s="4"/>
      <c r="O40" s="4"/>
      <c r="P40" s="4"/>
    </row>
    <row r="41" spans="1:16" x14ac:dyDescent="0.25">
      <c r="A41" s="6"/>
      <c r="B41" s="1"/>
      <c r="C41" s="16"/>
      <c r="D41" s="4"/>
      <c r="E41" s="4"/>
      <c r="F41" s="3"/>
      <c r="G41" s="3"/>
      <c r="H41" s="3"/>
      <c r="I41" s="3"/>
      <c r="J41" s="3"/>
      <c r="K41" s="3"/>
      <c r="L41" s="4"/>
      <c r="M41" s="4"/>
      <c r="N41" s="4"/>
      <c r="O41" s="4"/>
      <c r="P41" s="4"/>
    </row>
    <row r="42" spans="1:16" x14ac:dyDescent="0.25">
      <c r="A42" s="7"/>
      <c r="D42" s="4"/>
      <c r="E42" s="4"/>
      <c r="F42" s="3"/>
      <c r="G42" s="3"/>
      <c r="H42" s="3"/>
      <c r="I42" s="3"/>
      <c r="J42" s="3"/>
      <c r="K42" s="3"/>
      <c r="L42" s="4"/>
      <c r="M42" s="4"/>
      <c r="N42" s="4"/>
      <c r="O42" s="4"/>
      <c r="P42" s="4"/>
    </row>
    <row r="43" spans="1:16" x14ac:dyDescent="0.25">
      <c r="D43" s="4"/>
      <c r="E43" s="4"/>
      <c r="F43" s="3"/>
      <c r="G43" s="3"/>
      <c r="H43" s="3"/>
      <c r="I43" s="3"/>
      <c r="J43" s="3"/>
      <c r="K43" s="3"/>
      <c r="L43" s="4"/>
      <c r="M43" s="4"/>
      <c r="N43" s="4"/>
      <c r="O43" s="4"/>
      <c r="P43" s="4"/>
    </row>
    <row r="44" spans="1:16" x14ac:dyDescent="0.25">
      <c r="D44" s="4"/>
      <c r="E44" s="4"/>
      <c r="F44" s="3"/>
      <c r="G44" s="3"/>
      <c r="H44" s="3"/>
      <c r="I44" s="3"/>
      <c r="J44" s="3"/>
      <c r="K44" s="3"/>
      <c r="L44" s="4"/>
      <c r="M44" s="4"/>
      <c r="N44" s="4"/>
      <c r="O44" s="4"/>
      <c r="P44" s="4"/>
    </row>
    <row r="45" spans="1:16" x14ac:dyDescent="0.25">
      <c r="A45" s="7"/>
      <c r="D45" s="4"/>
      <c r="E45" s="4"/>
      <c r="F45" s="3"/>
      <c r="G45" s="3"/>
      <c r="H45" s="3"/>
      <c r="I45" s="3"/>
      <c r="J45" s="3"/>
      <c r="K45" s="3"/>
      <c r="L45" s="4"/>
      <c r="M45" s="4"/>
      <c r="N45" s="4"/>
      <c r="O45" s="4"/>
      <c r="P45" s="4"/>
    </row>
    <row r="46" spans="1:16" x14ac:dyDescent="0.25">
      <c r="D46" s="4"/>
      <c r="E46" s="4"/>
      <c r="F46" s="3"/>
      <c r="G46" s="3"/>
      <c r="H46" s="3"/>
      <c r="I46" s="3"/>
      <c r="J46" s="3"/>
      <c r="K46" s="3"/>
      <c r="L46" s="4"/>
      <c r="M46" s="4"/>
      <c r="N46" s="4"/>
      <c r="O46" s="4"/>
      <c r="P46" s="4"/>
    </row>
    <row r="47" spans="1:16" x14ac:dyDescent="0.25">
      <c r="D47" s="4"/>
      <c r="E47" s="4"/>
      <c r="F47" s="3"/>
      <c r="G47" s="3"/>
      <c r="H47" s="3"/>
      <c r="I47" s="3"/>
      <c r="J47" s="3"/>
      <c r="K47" s="3"/>
      <c r="L47" s="4"/>
      <c r="M47" s="4"/>
      <c r="N47" s="4"/>
      <c r="O47" s="4"/>
      <c r="P47" s="4"/>
    </row>
    <row r="48" spans="1:16" x14ac:dyDescent="0.25">
      <c r="D48" s="4"/>
      <c r="E48" s="4"/>
      <c r="F48" s="3"/>
      <c r="G48" s="3"/>
      <c r="H48" s="3"/>
      <c r="I48" s="3"/>
      <c r="J48" s="3"/>
      <c r="K48" s="3"/>
      <c r="L48" s="4"/>
      <c r="M48" s="4"/>
      <c r="N48" s="4"/>
      <c r="O48" s="4"/>
      <c r="P48" s="4"/>
    </row>
    <row r="49" spans="4:16" x14ac:dyDescent="0.25">
      <c r="D49" s="4"/>
      <c r="E49" s="4"/>
      <c r="F49" s="3"/>
      <c r="G49" s="3"/>
      <c r="H49" s="3"/>
      <c r="I49" s="3"/>
      <c r="J49" s="3"/>
      <c r="K49" s="3"/>
      <c r="L49" s="4"/>
      <c r="M49" s="4"/>
      <c r="N49" s="4"/>
      <c r="O49" s="4"/>
      <c r="P49" s="4"/>
    </row>
    <row r="50" spans="4:16" x14ac:dyDescent="0.25">
      <c r="D50" s="4"/>
      <c r="E50" s="4"/>
      <c r="F50" s="3"/>
      <c r="G50" s="3"/>
      <c r="H50" s="3"/>
      <c r="I50" s="3"/>
      <c r="J50" s="3"/>
      <c r="K50" s="3"/>
      <c r="L50" s="4"/>
      <c r="M50" s="4"/>
      <c r="N50" s="4"/>
      <c r="O50" s="4"/>
      <c r="P50" s="4"/>
    </row>
  </sheetData>
  <mergeCells count="40">
    <mergeCell ref="B39:C39"/>
    <mergeCell ref="K4:P5"/>
    <mergeCell ref="E4:E5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25:P25"/>
    <mergeCell ref="F4:H5"/>
    <mergeCell ref="I4:J5"/>
    <mergeCell ref="N36:P36"/>
    <mergeCell ref="N19:P19"/>
    <mergeCell ref="N20:P20"/>
    <mergeCell ref="N21:P21"/>
    <mergeCell ref="N22:P22"/>
    <mergeCell ref="N23:P23"/>
    <mergeCell ref="A1:C5"/>
    <mergeCell ref="D1:P2"/>
    <mergeCell ref="N37:P37"/>
    <mergeCell ref="N38:P38"/>
    <mergeCell ref="N6:P6"/>
    <mergeCell ref="N31:P31"/>
    <mergeCell ref="N32:P32"/>
    <mergeCell ref="N33:P33"/>
    <mergeCell ref="N34:P34"/>
    <mergeCell ref="N35:P35"/>
    <mergeCell ref="N26:P26"/>
    <mergeCell ref="N27:P27"/>
    <mergeCell ref="N28:P28"/>
    <mergeCell ref="N29:P29"/>
    <mergeCell ref="N30:P30"/>
    <mergeCell ref="N24:P24"/>
  </mergeCells>
  <conditionalFormatting sqref="A8:C9">
    <cfRule type="containsText" dxfId="17" priority="31" stopIfTrue="1" operator="containsText" text="So">
      <formula>NOT(ISERROR(SEARCH("So",A8)))</formula>
    </cfRule>
    <cfRule type="containsText" dxfId="16" priority="32" stopIfTrue="1" operator="containsText" text="Sa">
      <formula>NOT(ISERROR(SEARCH("Sa",A8)))</formula>
    </cfRule>
  </conditionalFormatting>
  <conditionalFormatting sqref="A8:C38">
    <cfRule type="containsText" dxfId="15" priority="8" stopIfTrue="1" operator="containsText" text="So">
      <formula>NOT(ISERROR(SEARCH("So",A8)))</formula>
    </cfRule>
    <cfRule type="containsText" dxfId="14" priority="9" stopIfTrue="1" operator="containsText" text="Sa">
      <formula>NOT(ISERROR(SEARCH("Sa",A8)))</formula>
    </cfRule>
  </conditionalFormatting>
  <conditionalFormatting sqref="A10:C10">
    <cfRule type="containsText" dxfId="13" priority="13" stopIfTrue="1" operator="containsText" text="So">
      <formula>NOT(ISERROR(SEARCH("So",A10)))</formula>
    </cfRule>
    <cfRule type="containsText" dxfId="12" priority="14" stopIfTrue="1" operator="containsText" text="Sa">
      <formula>NOT(ISERROR(SEARCH("Sa",A10)))</formula>
    </cfRule>
  </conditionalFormatting>
  <conditionalFormatting sqref="A10:M10">
    <cfRule type="expression" dxfId="11" priority="11">
      <formula>$B10="So"</formula>
    </cfRule>
    <cfRule type="expression" dxfId="10" priority="12">
      <formula>$B10="Sa"</formula>
    </cfRule>
  </conditionalFormatting>
  <conditionalFormatting sqref="A36:M36">
    <cfRule type="expression" dxfId="9" priority="3">
      <formula>$C36&lt;&gt;""</formula>
    </cfRule>
  </conditionalFormatting>
  <conditionalFormatting sqref="A8:N8">
    <cfRule type="expression" dxfId="8" priority="16">
      <formula>$B$8="So"</formula>
    </cfRule>
    <cfRule type="expression" dxfId="7" priority="18">
      <formula>$B$8="Sa"</formula>
    </cfRule>
  </conditionalFormatting>
  <conditionalFormatting sqref="A8:N29 A35:N38 H30:N34 A30:F34">
    <cfRule type="expression" dxfId="6" priority="5">
      <formula>$C8&lt;&gt;""</formula>
    </cfRule>
    <cfRule type="expression" dxfId="5" priority="6">
      <formula>$B8="So"</formula>
    </cfRule>
    <cfRule type="expression" dxfId="4" priority="7">
      <formula>$B8="Sa"</formula>
    </cfRule>
  </conditionalFormatting>
  <conditionalFormatting sqref="A9:N9 N10:N37">
    <cfRule type="expression" dxfId="3" priority="17">
      <formula>$B$9="Sa"</formula>
    </cfRule>
  </conditionalFormatting>
  <conditionalFormatting sqref="A9:N9">
    <cfRule type="expression" dxfId="2" priority="15">
      <formula>$B$9="So"</formula>
    </cfRule>
  </conditionalFormatting>
  <conditionalFormatting sqref="M8:M38">
    <cfRule type="cellIs" dxfId="1" priority="1" operator="greaterThan">
      <formula>10</formula>
    </cfRule>
    <cfRule type="cellIs" dxfId="0" priority="2" operator="greaterThan">
      <formula>12.01</formula>
    </cfRule>
  </conditionalFormatting>
  <printOptions horizontalCentered="1"/>
  <pageMargins left="0.23622047244094491" right="0.23622047244094491" top="0.55118110236220474" bottom="0.15748031496062992" header="0.31496062992125984" footer="0.19685039370078741"/>
  <pageSetup paperSize="9" scale="95" orientation="landscape" r:id="rId1"/>
  <headerFooter>
    <oddHeader>&amp;L&amp;D &amp;T&amp;R&amp;F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'Drop Down'!$A$1:$A$12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2"/>
  <sheetViews>
    <sheetView workbookViewId="0">
      <selection activeCell="D16" sqref="D16"/>
    </sheetView>
  </sheetViews>
  <sheetFormatPr baseColWidth="10" defaultColWidth="11.42578125" defaultRowHeight="15" x14ac:dyDescent="0.25"/>
  <cols>
    <col min="1" max="1" width="24.140625" bestFit="1" customWidth="1"/>
    <col min="3" max="3" width="18.7109375" bestFit="1" customWidth="1"/>
  </cols>
  <sheetData>
    <row r="2" spans="1:4" x14ac:dyDescent="0.25">
      <c r="A2" s="9" t="s">
        <v>4</v>
      </c>
      <c r="B2" s="10">
        <f>'Zeitschreibung'!I4</f>
        <v>2026</v>
      </c>
    </row>
    <row r="3" spans="1:4" x14ac:dyDescent="0.25">
      <c r="A3" s="9" t="s">
        <v>19</v>
      </c>
      <c r="B3" s="11">
        <f>DOLLAR((DAY(MINUTE($B$2/38)/2+55)&amp;".4."&amp;$B$2)/7,)*7-IF(YEAR(1)=1904,5,6)</f>
        <v>46117</v>
      </c>
      <c r="C3" s="9" t="s">
        <v>19</v>
      </c>
    </row>
    <row r="5" spans="1:4" x14ac:dyDescent="0.25">
      <c r="A5" s="9" t="s">
        <v>20</v>
      </c>
      <c r="B5" s="11">
        <f>B3+1</f>
        <v>46118</v>
      </c>
      <c r="C5" s="9" t="s">
        <v>20</v>
      </c>
    </row>
    <row r="6" spans="1:4" x14ac:dyDescent="0.25">
      <c r="A6" s="9"/>
      <c r="B6" s="11"/>
      <c r="C6" s="9"/>
    </row>
    <row r="7" spans="1:4" x14ac:dyDescent="0.25">
      <c r="A7" s="9" t="s">
        <v>21</v>
      </c>
      <c r="B7" s="11">
        <f>B3+39</f>
        <v>46156</v>
      </c>
      <c r="C7" s="9" t="s">
        <v>22</v>
      </c>
    </row>
    <row r="8" spans="1:4" x14ac:dyDescent="0.25">
      <c r="A8" s="9" t="s">
        <v>23</v>
      </c>
      <c r="B8" s="11">
        <f>B3+49</f>
        <v>46166</v>
      </c>
      <c r="C8" s="9" t="s">
        <v>23</v>
      </c>
    </row>
    <row r="9" spans="1:4" x14ac:dyDescent="0.25">
      <c r="A9" s="9" t="s">
        <v>24</v>
      </c>
      <c r="B9" s="11">
        <f>B3+50</f>
        <v>46167</v>
      </c>
      <c r="C9" s="9" t="s">
        <v>25</v>
      </c>
    </row>
    <row r="10" spans="1:4" x14ac:dyDescent="0.25">
      <c r="A10" s="9" t="s">
        <v>26</v>
      </c>
      <c r="B10" s="11">
        <f>B3+60</f>
        <v>46177</v>
      </c>
      <c r="C10" s="9" t="s">
        <v>26</v>
      </c>
    </row>
    <row r="12" spans="1:4" x14ac:dyDescent="0.25">
      <c r="A12" s="9" t="s">
        <v>27</v>
      </c>
      <c r="B12" s="11">
        <f>DATE(B2,1,1)</f>
        <v>46023</v>
      </c>
      <c r="C12" s="9" t="s">
        <v>27</v>
      </c>
    </row>
    <row r="13" spans="1:4" x14ac:dyDescent="0.25">
      <c r="A13" s="9" t="s">
        <v>28</v>
      </c>
      <c r="B13" s="11">
        <f>DATE($B$2,1,6)</f>
        <v>46028</v>
      </c>
      <c r="C13" s="9" t="s">
        <v>29</v>
      </c>
    </row>
    <row r="14" spans="1:4" x14ac:dyDescent="0.25">
      <c r="A14" s="12" t="s">
        <v>30</v>
      </c>
      <c r="B14" s="11">
        <f>DATE($B$2,5,1)</f>
        <v>46143</v>
      </c>
      <c r="C14" s="12" t="s">
        <v>30</v>
      </c>
    </row>
    <row r="15" spans="1:4" x14ac:dyDescent="0.25">
      <c r="A15" s="9" t="s">
        <v>31</v>
      </c>
      <c r="B15" s="11">
        <f>DATE($B$2,10,26)</f>
        <v>46321</v>
      </c>
      <c r="C15" s="9" t="s">
        <v>31</v>
      </c>
    </row>
    <row r="16" spans="1:4" x14ac:dyDescent="0.25">
      <c r="A16" s="9" t="s">
        <v>32</v>
      </c>
      <c r="B16" s="11">
        <f>DATE($B$2,11,1)</f>
        <v>46327</v>
      </c>
      <c r="C16" s="9" t="s">
        <v>32</v>
      </c>
      <c r="D16" s="22">
        <f>B16</f>
        <v>46327</v>
      </c>
    </row>
    <row r="17" spans="1:3" x14ac:dyDescent="0.25">
      <c r="A17" s="9" t="s">
        <v>33</v>
      </c>
      <c r="B17" s="11">
        <f>DATE($B$2,8,15)</f>
        <v>46249</v>
      </c>
      <c r="C17" s="9" t="s">
        <v>34</v>
      </c>
    </row>
    <row r="18" spans="1:3" x14ac:dyDescent="0.25">
      <c r="A18" s="9" t="s">
        <v>35</v>
      </c>
      <c r="B18" s="11">
        <f>DATE($B$2,12,24)</f>
        <v>46380</v>
      </c>
      <c r="C18" s="9" t="s">
        <v>35</v>
      </c>
    </row>
    <row r="19" spans="1:3" x14ac:dyDescent="0.25">
      <c r="A19" s="9" t="s">
        <v>36</v>
      </c>
      <c r="B19" s="11">
        <f>DATE($B$2,12,25)</f>
        <v>46381</v>
      </c>
      <c r="C19" s="9" t="s">
        <v>36</v>
      </c>
    </row>
    <row r="20" spans="1:3" x14ac:dyDescent="0.25">
      <c r="A20" s="9" t="s">
        <v>37</v>
      </c>
      <c r="B20" s="11">
        <f>DATE($B$2,12,26)</f>
        <v>46382</v>
      </c>
      <c r="C20" s="9" t="s">
        <v>37</v>
      </c>
    </row>
    <row r="21" spans="1:3" x14ac:dyDescent="0.25">
      <c r="A21" s="9" t="s">
        <v>38</v>
      </c>
      <c r="B21" s="11">
        <f>DATE($B$2,12,8)</f>
        <v>46364</v>
      </c>
      <c r="C21" s="9" t="s">
        <v>39</v>
      </c>
    </row>
    <row r="22" spans="1:3" x14ac:dyDescent="0.25">
      <c r="A22" s="9" t="s">
        <v>40</v>
      </c>
      <c r="B22" s="11">
        <f>DATE($B$2,12,31)</f>
        <v>46387</v>
      </c>
      <c r="C22" s="9" t="s">
        <v>40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C19" sqref="C19"/>
    </sheetView>
  </sheetViews>
  <sheetFormatPr baseColWidth="10" defaultColWidth="11.42578125" defaultRowHeight="15" x14ac:dyDescent="0.25"/>
  <sheetData>
    <row r="1" spans="1:6" x14ac:dyDescent="0.25">
      <c r="A1" t="s">
        <v>41</v>
      </c>
    </row>
    <row r="2" spans="1:6" x14ac:dyDescent="0.25">
      <c r="A2" t="s">
        <v>42</v>
      </c>
    </row>
    <row r="3" spans="1:6" x14ac:dyDescent="0.25">
      <c r="A3" t="s">
        <v>43</v>
      </c>
      <c r="F3" s="7"/>
    </row>
    <row r="4" spans="1:6" x14ac:dyDescent="0.25">
      <c r="A4" t="s">
        <v>44</v>
      </c>
    </row>
    <row r="5" spans="1:6" x14ac:dyDescent="0.25">
      <c r="A5" t="s">
        <v>45</v>
      </c>
    </row>
    <row r="6" spans="1:6" x14ac:dyDescent="0.25">
      <c r="A6" t="s">
        <v>46</v>
      </c>
    </row>
    <row r="7" spans="1:6" x14ac:dyDescent="0.25">
      <c r="A7" t="s">
        <v>47</v>
      </c>
    </row>
    <row r="8" spans="1:6" x14ac:dyDescent="0.25">
      <c r="A8" t="s">
        <v>1</v>
      </c>
    </row>
    <row r="9" spans="1:6" x14ac:dyDescent="0.25">
      <c r="A9" t="s">
        <v>48</v>
      </c>
    </row>
    <row r="10" spans="1:6" x14ac:dyDescent="0.25">
      <c r="A10" t="s">
        <v>49</v>
      </c>
    </row>
    <row r="11" spans="1:6" x14ac:dyDescent="0.25">
      <c r="A11" t="s">
        <v>50</v>
      </c>
    </row>
    <row r="12" spans="1:6" x14ac:dyDescent="0.25">
      <c r="A12" t="s">
        <v>51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499A51-E3F0-4E09-935C-7579A9FEE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Riedl  Alois</vt:lpstr>
      <vt:lpstr>Ferienberechnung</vt:lpstr>
      <vt:lpstr>Drop Down</vt:lpstr>
      <vt:lpstr>'Riedl  Alois'!Druckbereich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Roither</dc:creator>
  <cp:keywords/>
  <dc:description/>
  <cp:lastModifiedBy>Alois Riedl</cp:lastModifiedBy>
  <cp:revision/>
  <dcterms:created xsi:type="dcterms:W3CDTF">2016-01-21T07:59:59Z</dcterms:created>
  <dcterms:modified xsi:type="dcterms:W3CDTF">2026-07-02T13:42:24Z</dcterms:modified>
  <cp:category/>
  <cp:contentStatus/>
</cp:coreProperties>
</file>